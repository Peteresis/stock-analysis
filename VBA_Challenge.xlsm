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3C355BAD-4806-47AA-9C12-7A1C510F40A0}" xr6:coauthVersionLast="47" xr6:coauthVersionMax="47" xr10:uidLastSave="{00000000-0000-0000-0000-000000000000}"/>
  <bookViews>
    <workbookView xWindow="-120" yWindow="-120" windowWidth="25440" windowHeight="15390" activeTab="2" xr2:uid="{00000000-000D-0000-FFFF-FFFF00000000}"/>
  </bookViews>
  <sheets>
    <sheet name="2017" sheetId="1" r:id="rId1"/>
    <sheet name="2018" sheetId="2" r:id="rId2"/>
    <sheet name="All Stocks Analysis" sheetId="5" r:id="rId3"/>
    <sheet name="Script Speed Comparison" sheetId="8" r:id="rId4"/>
  </sheets>
  <definedNames>
    <definedName name="_xlnm._FilterDatabase" localSheetId="0" hidden="1">'2017'!$A$1:$H$3013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" i="8" l="1"/>
  <c r="E5" i="8"/>
  <c r="D6" i="8"/>
  <c r="D5" i="8"/>
</calcChain>
</file>

<file path=xl/sharedStrings.xml><?xml version="1.0" encoding="utf-8"?>
<sst xmlns="http://schemas.openxmlformats.org/spreadsheetml/2006/main" count="12085" uniqueCount="530">
  <si>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</si>
  <si>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</si>
  <si>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</si>
  <si>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</si>
  <si>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</si>
  <si>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</si>
  <si>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</si>
  <si>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</si>
  <si>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</si>
  <si>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</si>
  <si>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</si>
  <si>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</si>
  <si>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</si>
  <si>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</si>
  <si>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</si>
  <si>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</si>
  <si>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</si>
  <si>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</si>
  <si>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</si>
  <si>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</si>
  <si>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</si>
  <si>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</si>
  <si>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</si>
  <si>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</si>
  <si>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</si>
  <si>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</si>
  <si>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</si>
  <si>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</si>
  <si>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</si>
  <si>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</si>
  <si>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</si>
  <si>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</si>
  <si>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</si>
  <si>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</si>
  <si>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</si>
  <si>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</si>
  <si>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</si>
  <si>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</si>
  <si>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</si>
  <si>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</si>
  <si>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</si>
  <si>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</si>
  <si>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</si>
  <si>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</si>
  <si>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</si>
  <si>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</si>
  <si>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</si>
  <si>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</si>
  <si>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</si>
  <si>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</si>
  <si>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</si>
  <si>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</si>
  <si>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</si>
  <si>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</si>
  <si>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</si>
  <si>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</si>
  <si>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</si>
  <si>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</si>
  <si>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</si>
  <si>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</si>
  <si>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</si>
  <si>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</si>
  <si>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</si>
  <si>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</si>
  <si>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</si>
  <si>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</si>
  <si>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</si>
  <si>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</si>
  <si>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</si>
  <si>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</si>
  <si>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</si>
  <si>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</si>
  <si>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</si>
  <si>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</si>
  <si>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</si>
  <si>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</si>
  <si>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</si>
  <si>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</si>
  <si>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</si>
  <si>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</si>
  <si>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</si>
  <si>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</si>
  <si>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</si>
  <si>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</si>
  <si>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</si>
  <si>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</si>
  <si>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</si>
  <si>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</si>
  <si>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</si>
  <si>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</si>
  <si>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</si>
  <si>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</si>
  <si>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</si>
  <si>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</si>
  <si>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</si>
  <si>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</si>
  <si>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</si>
  <si>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</si>
  <si>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</si>
  <si>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</si>
  <si>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</si>
  <si>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</si>
  <si>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</si>
  <si>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</si>
  <si>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</si>
  <si>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</si>
  <si>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</si>
  <si>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</si>
  <si>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</si>
  <si>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</si>
  <si>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</si>
  <si>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</si>
  <si>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</si>
  <si>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</si>
  <si>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</si>
  <si>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</si>
  <si>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</si>
  <si>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</si>
  <si>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</si>
  <si>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</si>
  <si>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</si>
  <si>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</si>
  <si>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</si>
  <si>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</si>
  <si>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</si>
  <si>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</si>
  <si>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</si>
  <si>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</si>
  <si>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</si>
  <si>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</si>
  <si>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</si>
  <si>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</si>
  <si>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</si>
  <si>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</si>
  <si>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</si>
  <si>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</si>
  <si>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</si>
  <si>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</si>
  <si>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</si>
  <si>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</si>
  <si>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</si>
  <si>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</si>
  <si>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</si>
  <si>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</si>
  <si>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</si>
  <si>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</si>
  <si>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</si>
  <si>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</si>
  <si>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</si>
  <si>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</si>
  <si>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</si>
  <si>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</si>
  <si>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</si>
  <si>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</si>
  <si>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</si>
  <si>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</si>
  <si>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</si>
  <si>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</si>
  <si>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</si>
  <si>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</si>
  <si>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</si>
  <si>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</si>
  <si>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</si>
  <si>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</si>
  <si>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</si>
  <si>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</si>
  <si>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</si>
  <si>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</si>
  <si>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</si>
  <si>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</si>
  <si>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</si>
  <si>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</si>
  <si>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</si>
  <si>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</si>
  <si>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</si>
  <si>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</si>
  <si>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</si>
  <si>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</si>
  <si>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</si>
  <si>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</si>
  <si>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</si>
  <si>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</si>
  <si>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</si>
  <si>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</si>
  <si>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</si>
  <si>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</si>
  <si>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</si>
  <si>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</si>
  <si>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</si>
  <si>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</si>
  <si>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</si>
  <si>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</si>
  <si>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</si>
  <si>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</si>
  <si>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</si>
  <si>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</si>
  <si>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</si>
  <si>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</si>
  <si>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</si>
  <si>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</si>
  <si>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</si>
  <si>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</si>
  <si>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</si>
  <si>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</si>
  <si>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</si>
  <si>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</si>
  <si>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</si>
  <si>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</si>
  <si>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</si>
  <si>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</si>
  <si>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</si>
  <si>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</si>
  <si>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</si>
  <si>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</si>
  <si>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</si>
  <si>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</si>
  <si>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</si>
  <si>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</si>
  <si>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</si>
  <si>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</si>
  <si>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</si>
  <si>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</si>
  <si>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</si>
  <si>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</si>
  <si>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</si>
  <si>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</si>
  <si>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</si>
  <si>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</si>
  <si>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</si>
  <si>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</si>
  <si>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</si>
  <si>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</si>
  <si>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</si>
  <si>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</si>
  <si>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</si>
  <si>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</si>
  <si>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</si>
  <si>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</si>
  <si>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</si>
  <si>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</si>
  <si>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</si>
  <si>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</si>
  <si>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</si>
  <si>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</si>
  <si>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</si>
  <si>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</si>
  <si>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</si>
  <si>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</si>
  <si>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</si>
  <si>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</si>
  <si>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</si>
  <si>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</si>
  <si>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</si>
  <si>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</si>
  <si>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</si>
  <si>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</si>
  <si>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</si>
  <si>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</si>
  <si>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</si>
  <si>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</si>
  <si>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</si>
  <si>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</si>
  <si>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</si>
  <si>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</si>
  <si>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</si>
  <si>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</si>
  <si>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</si>
  <si>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</si>
  <si>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</si>
  <si>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</si>
  <si>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</si>
  <si>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</si>
  <si>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</si>
  <si>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</si>
  <si>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</si>
  <si>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</si>
  <si>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</si>
  <si>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</si>
  <si>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</si>
  <si>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</si>
  <si>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</si>
  <si>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</si>
  <si>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</si>
  <si>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</si>
  <si>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</si>
  <si>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</si>
  <si>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</si>
  <si>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</si>
  <si>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</si>
  <si>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</si>
  <si>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</si>
  <si>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</si>
  <si>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</si>
  <si>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</si>
  <si>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</si>
  <si>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</si>
  <si>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</si>
  <si>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</si>
  <si>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</si>
  <si>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</si>
  <si>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</si>
  <si>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</si>
  <si>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</si>
  <si>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</si>
  <si>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</si>
  <si>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</si>
  <si>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</si>
  <si>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</si>
  <si>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</si>
  <si>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</si>
  <si>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</si>
  <si>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</si>
  <si>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</si>
  <si>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</si>
  <si>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</si>
  <si>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</si>
  <si>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</si>
  <si>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</si>
  <si>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</si>
  <si>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</si>
  <si>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</si>
  <si>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</si>
  <si>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</si>
  <si>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</si>
  <si>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</si>
  <si>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</si>
  <si>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</si>
  <si>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</si>
  <si>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</si>
  <si>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</si>
  <si>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</si>
  <si>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</si>
  <si>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</si>
  <si>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</si>
  <si>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</si>
  <si>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</si>
  <si>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</si>
  <si>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</si>
  <si>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</si>
  <si>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</si>
  <si>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</si>
  <si>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</si>
  <si>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</si>
  <si>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</si>
  <si>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</si>
  <si>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</si>
  <si>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</si>
  <si>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</si>
  <si>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</si>
  <si>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</si>
  <si>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</si>
  <si>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</si>
  <si>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</si>
  <si>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</si>
  <si>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</si>
  <si>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</si>
  <si>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</si>
  <si>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</si>
  <si>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</si>
  <si>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</si>
  <si>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</si>
  <si>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</si>
  <si>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</si>
  <si>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</si>
  <si>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</si>
  <si>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</si>
  <si>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</si>
  <si>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</si>
  <si>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</si>
  <si>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</si>
  <si>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</si>
  <si>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</si>
  <si>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</si>
  <si>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</si>
  <si>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</si>
  <si>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</si>
  <si>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</si>
  <si>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</si>
  <si>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</si>
  <si>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</si>
  <si>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</si>
  <si>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</si>
  <si>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</si>
  <si>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</si>
  <si>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</si>
  <si>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</si>
  <si>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</si>
  <si>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</si>
  <si>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</si>
  <si>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</si>
  <si>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</si>
  <si>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</si>
  <si>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</si>
  <si>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</si>
  <si>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</si>
  <si>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</si>
  <si>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</si>
  <si>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</si>
  <si>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</si>
  <si>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</si>
  <si>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</si>
  <si>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</si>
  <si>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</si>
  <si>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</si>
  <si>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</si>
  <si>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</si>
  <si>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</si>
  <si>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</si>
  <si>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</si>
  <si>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</si>
  <si>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</si>
  <si>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</si>
  <si>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</si>
  <si>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</si>
  <si>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</si>
  <si>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</si>
  <si>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</si>
  <si>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</si>
  <si>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</si>
  <si>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</si>
  <si>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</si>
  <si>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</si>
  <si>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</si>
  <si>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</si>
  <si>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</si>
  <si>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</si>
  <si>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</si>
  <si>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</si>
  <si>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</si>
  <si>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</si>
  <si>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</si>
  <si>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</si>
  <si>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</si>
  <si>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</si>
  <si>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</si>
  <si>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</si>
  <si>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</si>
  <si>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</si>
  <si>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</si>
  <si>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</si>
  <si>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</si>
  <si>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</si>
  <si>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</si>
  <si>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</si>
  <si>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</si>
  <si>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</si>
  <si>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</si>
  <si>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</si>
  <si>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</si>
  <si>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</si>
  <si>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</si>
  <si>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</si>
  <si>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</si>
  <si>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</si>
  <si>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</si>
  <si>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</si>
  <si>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</si>
  <si>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</si>
  <si>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</si>
  <si>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</si>
  <si>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</si>
  <si>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</si>
  <si>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</si>
  <si>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</si>
  <si>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</si>
  <si>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</si>
  <si>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</si>
  <si>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</si>
  <si>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</si>
  <si>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</si>
  <si>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</si>
  <si>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</si>
  <si>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</si>
  <si>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</si>
  <si>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</si>
  <si>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</si>
  <si>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</si>
  <si>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</si>
  <si>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</si>
  <si>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</si>
  <si>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</si>
  <si>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</si>
  <si>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</si>
  <si>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</si>
  <si>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</si>
  <si>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</si>
  <si>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</si>
  <si>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</si>
  <si>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</si>
  <si>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</si>
  <si>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</si>
  <si>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</si>
  <si>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</si>
  <si>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</si>
  <si>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</si>
  <si>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</si>
  <si>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</si>
  <si>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</si>
  <si>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</si>
  <si>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</si>
  <si>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</si>
  <si>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</si>
  <si>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</si>
  <si>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</si>
  <si>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</si>
  <si>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</si>
  <si>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</si>
  <si>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</si>
  <si>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</si>
  <si>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</si>
  <si>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</si>
  <si>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</si>
  <si>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</si>
  <si>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</si>
  <si>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</si>
  <si>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</si>
  <si>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</si>
  <si>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</si>
  <si>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</si>
  <si>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</si>
  <si>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</si>
  <si>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</si>
  <si>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</si>
  <si>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</si>
  <si>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</si>
  <si>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Old Script (seconds)</t>
  </si>
  <si>
    <t>New Script (seconds)</t>
  </si>
  <si>
    <t>Diff. (seconds) New-Old</t>
  </si>
  <si>
    <t>Diff (%) New/Old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</si>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</sst>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164" fontId="0" fillId="0" borderId="1" xfId="1" applyNumberFormat="1" applyFont="1" applyBorder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85725</xdr:rowOff>
        </xdr:from>
        <xdr:to>
          <xdr:col>6</xdr:col>
          <xdr:colOff>342900</xdr:colOff>
          <xdr:row>11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 (New)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152400</xdr:rowOff>
        </xdr:from>
        <xdr:to>
          <xdr:col>6</xdr:col>
          <xdr:colOff>333375</xdr:colOff>
          <xdr:row>14</xdr:row>
          <xdr:rowOff>161925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28575</xdr:rowOff>
        </xdr:from>
        <xdr:to>
          <xdr:col>6</xdr:col>
          <xdr:colOff>342900</xdr:colOff>
          <xdr:row>8</xdr:row>
          <xdr:rowOff>38100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 (Old)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F1" sqref="F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732" workbookViewId="0">
      <selection activeCell="L747" sqref="L747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BB46-7253-44F9-ADEB-28C338E2CFAE}">
  <sheetPr codeName="Sheet5"/>
  <dimension ref="A1:C15"/>
  <sheetViews>
    <sheetView tabSelected="1" workbookViewId="0">
      <selection activeCell="V25" sqref="V25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.140625" bestFit="1" customWidth="1"/>
  </cols>
  <sheetData>
    <row r="1" spans="1:3" x14ac:dyDescent="0.25">
      <c r="A1" t="s">
        <v>529</v>
      </c>
    </row>
    <row r="3" spans="1:3" x14ac:dyDescent="0.25">
      <c r="A3" s="2" t="s">
        <v>0</v>
      </c>
      <c r="B3" s="2" t="s">
        <v>523</v>
      </c>
      <c r="C3" s="2" t="s">
        <v>524</v>
      </c>
    </row>
    <row r="4" spans="1:3" x14ac:dyDescent="0.25">
      <c r="A4" t="s">
        <v>8</v>
      </c>
      <c r="B4" s="3">
        <v>136070900</v>
      </c>
      <c r="C4" s="4">
        <v>8.9368253946304321E-2</v>
      </c>
    </row>
    <row r="5" spans="1:3" x14ac:dyDescent="0.25">
      <c r="A5" t="s">
        <v>9</v>
      </c>
      <c r="B5" s="3">
        <v>310592800</v>
      </c>
      <c r="C5" s="4">
        <v>0.33070248365402222</v>
      </c>
    </row>
    <row r="6" spans="1:3" x14ac:dyDescent="0.25">
      <c r="A6" t="s">
        <v>10</v>
      </c>
      <c r="B6" s="3">
        <v>35796200</v>
      </c>
      <c r="C6" s="4">
        <v>1.9944583177566528</v>
      </c>
    </row>
    <row r="7" spans="1:3" x14ac:dyDescent="0.25">
      <c r="A7" t="s">
        <v>11</v>
      </c>
      <c r="B7" s="3">
        <v>221772100</v>
      </c>
      <c r="C7" s="4">
        <v>1.2952382564544678</v>
      </c>
    </row>
    <row r="8" spans="1:3" x14ac:dyDescent="0.25">
      <c r="A8" t="s">
        <v>12</v>
      </c>
      <c r="B8" s="3">
        <v>684181400</v>
      </c>
      <c r="C8" s="4">
        <v>1.0131185054779053</v>
      </c>
    </row>
    <row r="9" spans="1:3" x14ac:dyDescent="0.25">
      <c r="A9" t="s">
        <v>13</v>
      </c>
      <c r="B9" s="3">
        <v>80949300</v>
      </c>
      <c r="C9" s="4">
        <v>0.2583681046962738</v>
      </c>
    </row>
    <row r="10" spans="1:3" x14ac:dyDescent="0.25">
      <c r="A10" t="s">
        <v>14</v>
      </c>
      <c r="B10" s="3">
        <v>191632200</v>
      </c>
      <c r="C10" s="4">
        <v>0.53870755434036255</v>
      </c>
    </row>
    <row r="11" spans="1:3" x14ac:dyDescent="0.25">
      <c r="A11" t="s">
        <v>15</v>
      </c>
      <c r="B11" s="3">
        <v>267681300</v>
      </c>
      <c r="C11" s="4">
        <v>5.5456161499023438E-2</v>
      </c>
    </row>
    <row r="12" spans="1:3" x14ac:dyDescent="0.25">
      <c r="A12" t="s">
        <v>16</v>
      </c>
      <c r="B12" s="3">
        <v>206885200</v>
      </c>
      <c r="C12" s="4">
        <v>1.8446969985961914</v>
      </c>
    </row>
    <row r="13" spans="1:3" x14ac:dyDescent="0.25">
      <c r="A13" t="s">
        <v>17</v>
      </c>
      <c r="B13" s="3">
        <v>782187000</v>
      </c>
      <c r="C13" s="4">
        <v>0.23065699636936188</v>
      </c>
    </row>
    <row r="14" spans="1:3" x14ac:dyDescent="0.25">
      <c r="A14" t="s">
        <v>18</v>
      </c>
      <c r="B14" s="3">
        <v>139402800</v>
      </c>
      <c r="C14" s="5">
        <v>-7.2148971259593964E-2</v>
      </c>
    </row>
    <row r="15" spans="1:3" x14ac:dyDescent="0.25">
      <c r="A15" t="s">
        <v>19</v>
      </c>
      <c r="B15" s="3">
        <v>109487900</v>
      </c>
      <c r="C15" s="4">
        <v>0.50000005960464478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9525</xdr:colOff>
                    <xdr:row>8</xdr:row>
                    <xdr:rowOff>85725</xdr:rowOff>
                  </from>
                  <to>
                    <xdr:col>6</xdr:col>
                    <xdr:colOff>342900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Worksheet">
                <anchor moveWithCells="1" sizeWithCells="1">
                  <from>
                    <xdr:col>4</xdr:col>
                    <xdr:colOff>0</xdr:colOff>
                    <xdr:row>11</xdr:row>
                    <xdr:rowOff>152400</xdr:rowOff>
                  </from>
                  <to>
                    <xdr:col>6</xdr:col>
                    <xdr:colOff>333375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AllStocksAnalysis">
                <anchor moveWithCells="1" sizeWithCells="1">
                  <from>
                    <xdr:col>4</xdr:col>
                    <xdr:colOff>9525</xdr:colOff>
                    <xdr:row>5</xdr:row>
                    <xdr:rowOff>28575</xdr:rowOff>
                  </from>
                  <to>
                    <xdr:col>6</xdr:col>
                    <xdr:colOff>342900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D4742-8C3B-4E40-97DB-9AA506B1472D}">
  <sheetPr codeName="Sheet3"/>
  <dimension ref="A4:E6"/>
  <sheetViews>
    <sheetView workbookViewId="0">
      <selection activeCell="D11" sqref="D11"/>
    </sheetView>
  </sheetViews>
  <sheetFormatPr defaultRowHeight="15" x14ac:dyDescent="0.25"/>
  <cols>
    <col min="1" max="1" width="9.140625" style="6"/>
    <col min="2" max="5" width="12.7109375" style="6" customWidth="1"/>
    <col min="6" max="16384" width="9.140625" style="6"/>
  </cols>
  <sheetData>
    <row r="4" spans="1:5" s="7" customFormat="1" ht="63" x14ac:dyDescent="0.25">
      <c r="A4" s="8" t="s">
        <v>522</v>
      </c>
      <c r="B4" s="8" t="s">
        <v>525</v>
      </c>
      <c r="C4" s="8" t="s">
        <v>526</v>
      </c>
      <c r="D4" s="8" t="s">
        <v>527</v>
      </c>
      <c r="E4" s="8" t="s">
        <v>528</v>
      </c>
    </row>
    <row r="5" spans="1:5" ht="15.75" x14ac:dyDescent="0.25">
      <c r="A5" s="9">
        <v>2017</v>
      </c>
      <c r="B5" s="10">
        <v>0.890625</v>
      </c>
      <c r="C5" s="10">
        <v>9.375E-2</v>
      </c>
      <c r="D5" s="10">
        <f>C5-B5</f>
        <v>-0.796875</v>
      </c>
      <c r="E5" s="11">
        <f>(C5/B5)-1</f>
        <v>-0.89473684210526316</v>
      </c>
    </row>
    <row r="6" spans="1:5" ht="15.75" x14ac:dyDescent="0.25">
      <c r="A6" s="9">
        <v>2018</v>
      </c>
      <c r="B6" s="10">
        <v>1.0078130000000001</v>
      </c>
      <c r="C6" s="10">
        <v>0.1015625</v>
      </c>
      <c r="D6" s="10">
        <f>C6-B6</f>
        <v>-0.90625050000000007</v>
      </c>
      <c r="E6" s="11">
        <f>(C6/B6)-1</f>
        <v>-0.89922485619852099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Script Speed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2019-05-02T20:23:55Z</dcterms:created>
  <dcterms:modified xsi:type="dcterms:W3CDTF">2022-02-22T15:50:16Z</dcterms:modified>
</cp:coreProperties>
</file>